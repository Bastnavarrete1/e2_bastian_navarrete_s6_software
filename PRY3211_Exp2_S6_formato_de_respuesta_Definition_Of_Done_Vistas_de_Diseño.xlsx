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oll\Desktop\Ingeniería de Software\Prueba 2\"/>
    </mc:Choice>
  </mc:AlternateContent>
  <xr:revisionPtr revIDLastSave="0" documentId="13_ncr:1_{392F86AD-3A5C-4F6B-B366-7D3AA83E3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s="1"/>
  <c r="B2" i="2" s="1"/>
</calcChain>
</file>

<file path=xl/sharedStrings.xml><?xml version="1.0" encoding="utf-8"?>
<sst xmlns="http://schemas.openxmlformats.org/spreadsheetml/2006/main" count="38" uniqueCount="25">
  <si>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</si>
  <si>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</si>
  <si>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</si>
  <si>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</si>
  <si>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</si>
  <si>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</si>
  <si>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</si>
  <si>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</si>
  <si>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</si>
  <si>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</si>
  <si>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</si>
  <si>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</si>
  <si>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</si>
  <si>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</si>
  <si>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</si>
  <si>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</si>
  <si>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</si>
  <si>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</si>
  <si>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</si>
  <si>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</si>
  <si>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Porcentaje de Scrum</t>
  </si>
  <si>
    <t>COMPONENTE 1 (Usuarios)</t>
  </si>
  <si>
    <t>COMPONENTE 2 (Productos CRUD)</t>
  </si>
  <si>
    <t>COMPONENTE 3 (Carrito / Pedidos)</t>
  </si>
  <si>
    <t>COMPONENTE 4 (Admin / Vistas)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</si>
</sst>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6" fillId="0" borderId="8" xfId="0" applyFont="1" applyBorder="1" applyAlignment="1">
      <alignment textRotation="255"/>
    </xf>
    <xf numFmtId="0" fontId="6" fillId="0" borderId="9" xfId="0" applyFont="1" applyBorder="1" applyAlignment="1">
      <alignment textRotation="255"/>
    </xf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3" fillId="3" borderId="5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COMPONENTE 1</c:v>
                </c:pt>
                <c:pt idx="1">
                  <c:v>COMPONENTE 2</c:v>
                </c:pt>
                <c:pt idx="2">
                  <c:v>COMPONENTE 3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0.75</c:v>
                </c:pt>
                <c:pt idx="1">
                  <c:v>0.75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Normal="100" workbookViewId="0">
      <selection activeCell="E8" sqref="E8"/>
    </sheetView>
  </sheetViews>
  <sheetFormatPr baseColWidth="10"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4"/>
      <c r="B1" s="14"/>
      <c r="C1" s="1" t="s">
        <v>0</v>
      </c>
      <c r="D1" s="15" t="s">
        <v>1</v>
      </c>
      <c r="E1" s="2"/>
    </row>
    <row r="2" spans="1:15" ht="27.75" customHeight="1" x14ac:dyDescent="0.25">
      <c r="A2" s="29" t="s">
        <v>2</v>
      </c>
      <c r="B2" s="24" t="s">
        <v>21</v>
      </c>
      <c r="C2" s="3" t="s">
        <v>4</v>
      </c>
      <c r="D2" s="4">
        <v>2</v>
      </c>
      <c r="E2" s="5"/>
      <c r="F2" s="31" t="s">
        <v>2</v>
      </c>
      <c r="G2" s="21"/>
      <c r="H2" s="21"/>
      <c r="I2" s="22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25">
      <c r="A3" s="30"/>
      <c r="B3" s="25"/>
      <c r="C3" s="3" t="s">
        <v>9</v>
      </c>
      <c r="D3" s="4">
        <v>2</v>
      </c>
      <c r="E3" s="5"/>
      <c r="F3" s="20" t="s">
        <v>3</v>
      </c>
      <c r="G3" s="21"/>
      <c r="H3" s="22"/>
      <c r="I3" s="7">
        <f>SUM(D2:D5)/12</f>
        <v>0.75</v>
      </c>
      <c r="L3" s="8" t="s">
        <v>10</v>
      </c>
      <c r="M3" s="8" t="s">
        <v>11</v>
      </c>
      <c r="N3" s="13" t="s">
        <v>12</v>
      </c>
      <c r="O3" s="8" t="s">
        <v>13</v>
      </c>
    </row>
    <row r="4" spans="1:15" ht="26.25" customHeight="1" x14ac:dyDescent="0.25">
      <c r="A4" s="30"/>
      <c r="B4" s="25"/>
      <c r="C4" s="3" t="s">
        <v>14</v>
      </c>
      <c r="D4" s="4">
        <v>3</v>
      </c>
      <c r="E4" s="5"/>
      <c r="F4" s="20" t="s">
        <v>15</v>
      </c>
      <c r="G4" s="21"/>
      <c r="H4" s="22"/>
      <c r="I4" s="7">
        <f>SUM(D6:D9)/12</f>
        <v>0.75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30"/>
      <c r="B5" s="26"/>
      <c r="C5" s="3" t="s">
        <v>16</v>
      </c>
      <c r="D5" s="4">
        <v>2</v>
      </c>
      <c r="E5" s="5"/>
      <c r="F5" s="20" t="s">
        <v>17</v>
      </c>
      <c r="G5" s="21"/>
      <c r="H5" s="22"/>
      <c r="I5" s="7">
        <f>SUM(D10,D13)/6</f>
        <v>0.33333333333333331</v>
      </c>
    </row>
    <row r="6" spans="1:15" ht="45" customHeight="1" x14ac:dyDescent="0.25">
      <c r="A6" s="30"/>
      <c r="B6" s="24" t="s">
        <v>22</v>
      </c>
      <c r="C6" s="3" t="s">
        <v>4</v>
      </c>
      <c r="D6" s="4">
        <v>2</v>
      </c>
      <c r="E6" s="5"/>
      <c r="F6" s="20" t="s">
        <v>18</v>
      </c>
      <c r="G6" s="21"/>
      <c r="H6" s="22"/>
      <c r="I6" s="7">
        <f>SUM(D14,D17)/6</f>
        <v>0.66666666666666663</v>
      </c>
    </row>
    <row r="7" spans="1:15" ht="41.25" customHeight="1" x14ac:dyDescent="0.25">
      <c r="A7" s="30"/>
      <c r="B7" s="25"/>
      <c r="C7" s="3" t="s">
        <v>9</v>
      </c>
      <c r="D7" s="4">
        <v>2</v>
      </c>
      <c r="E7" s="5"/>
      <c r="F7" s="23" t="s">
        <v>19</v>
      </c>
      <c r="G7" s="21"/>
      <c r="H7" s="22"/>
      <c r="I7" s="7">
        <f>SUM(MediaArtefacto1:MediaArtefacto3)/3</f>
        <v>0.61111111111111105</v>
      </c>
    </row>
    <row r="8" spans="1:15" ht="42.75" customHeight="1" x14ac:dyDescent="0.25">
      <c r="A8" s="30"/>
      <c r="B8" s="25"/>
      <c r="C8" s="3" t="s">
        <v>14</v>
      </c>
      <c r="D8" s="4">
        <v>3</v>
      </c>
      <c r="E8" s="5"/>
      <c r="F8" s="5"/>
      <c r="G8" s="2"/>
    </row>
    <row r="9" spans="1:15" ht="30.75" customHeight="1" x14ac:dyDescent="0.25">
      <c r="A9" s="30"/>
      <c r="B9" s="26"/>
      <c r="C9" s="3" t="s">
        <v>16</v>
      </c>
      <c r="D9" s="4">
        <v>2</v>
      </c>
      <c r="E9" s="5"/>
    </row>
    <row r="10" spans="1:15" ht="41.25" customHeight="1" x14ac:dyDescent="0.25">
      <c r="A10" s="30"/>
      <c r="B10" s="24" t="s">
        <v>23</v>
      </c>
      <c r="C10" s="3" t="s">
        <v>4</v>
      </c>
      <c r="D10" s="4">
        <v>1</v>
      </c>
      <c r="E10" s="5"/>
      <c r="F10" s="5"/>
      <c r="G10" s="2"/>
    </row>
    <row r="11" spans="1:15" ht="47.25" customHeight="1" x14ac:dyDescent="0.25">
      <c r="A11" s="30"/>
      <c r="B11" s="25"/>
      <c r="C11" s="3" t="s">
        <v>9</v>
      </c>
      <c r="D11" s="4">
        <v>2</v>
      </c>
      <c r="E11" s="5"/>
      <c r="F11" s="5"/>
      <c r="G11" s="2"/>
    </row>
    <row r="12" spans="1:15" ht="27.75" customHeight="1" x14ac:dyDescent="0.25">
      <c r="A12" s="30"/>
      <c r="B12" s="25"/>
      <c r="C12" s="3" t="s">
        <v>14</v>
      </c>
      <c r="D12" s="4">
        <v>2</v>
      </c>
      <c r="E12" s="5"/>
      <c r="F12" s="5"/>
      <c r="G12" s="2"/>
    </row>
    <row r="13" spans="1:15" ht="50.25" customHeight="1" x14ac:dyDescent="0.25">
      <c r="A13" s="30"/>
      <c r="B13" s="26"/>
      <c r="C13" s="3" t="s">
        <v>16</v>
      </c>
      <c r="D13" s="4">
        <v>1</v>
      </c>
      <c r="F13" s="5"/>
      <c r="G13" s="5"/>
      <c r="H13" s="5"/>
      <c r="I13" s="5"/>
      <c r="J13" s="2"/>
    </row>
    <row r="14" spans="1:15" ht="40.5" customHeight="1" x14ac:dyDescent="0.25">
      <c r="A14" s="30"/>
      <c r="B14" s="24" t="s">
        <v>24</v>
      </c>
      <c r="C14" s="3" t="s">
        <v>4</v>
      </c>
      <c r="D14" s="4">
        <v>2</v>
      </c>
      <c r="F14" s="5"/>
      <c r="G14" s="5"/>
      <c r="H14" s="5"/>
      <c r="I14" s="5"/>
      <c r="J14" s="2"/>
    </row>
    <row r="15" spans="1:15" ht="27.75" customHeight="1" x14ac:dyDescent="0.25">
      <c r="A15" s="30"/>
      <c r="B15" s="27"/>
      <c r="C15" s="3" t="s">
        <v>9</v>
      </c>
      <c r="D15" s="4">
        <v>2</v>
      </c>
      <c r="F15" s="5"/>
      <c r="G15" s="5"/>
      <c r="H15" s="5"/>
      <c r="I15" s="5"/>
      <c r="J15" s="2"/>
    </row>
    <row r="16" spans="1:15" ht="36.75" customHeight="1" x14ac:dyDescent="0.25">
      <c r="A16" s="30"/>
      <c r="B16" s="27"/>
      <c r="C16" s="3" t="s">
        <v>14</v>
      </c>
      <c r="D16" s="4">
        <v>3</v>
      </c>
      <c r="F16" s="5"/>
      <c r="G16" s="5"/>
      <c r="H16" s="5"/>
      <c r="I16" s="5"/>
      <c r="J16" s="2"/>
    </row>
    <row r="17" spans="1:10" ht="64.5" customHeight="1" x14ac:dyDescent="0.25">
      <c r="A17" s="30"/>
      <c r="B17" s="28"/>
      <c r="C17" s="3" t="s">
        <v>16</v>
      </c>
      <c r="D17" s="4">
        <v>2</v>
      </c>
      <c r="F17" s="5"/>
      <c r="G17" s="5"/>
      <c r="H17" s="5"/>
      <c r="I17" s="5"/>
      <c r="J17" s="2"/>
    </row>
    <row r="18" spans="1:10" ht="14.25" customHeight="1" x14ac:dyDescent="0.25">
      <c r="F18" s="5"/>
      <c r="G18" s="5"/>
      <c r="H18" s="5"/>
      <c r="I18" s="5"/>
      <c r="J18" s="2"/>
    </row>
    <row r="19" spans="1:10" ht="14.25" customHeight="1" x14ac:dyDescent="0.25">
      <c r="F19" s="5"/>
      <c r="G19" s="5"/>
      <c r="H19" s="5"/>
      <c r="I19" s="5"/>
      <c r="J19" s="2"/>
    </row>
    <row r="20" spans="1:10" ht="15.75" x14ac:dyDescent="0.25">
      <c r="B20" s="11"/>
      <c r="C20" s="12"/>
      <c r="D20" s="5"/>
      <c r="E20" s="5"/>
      <c r="F20" s="5"/>
      <c r="G20" s="5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37" sqref="C37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5" ht="15.75" x14ac:dyDescent="0.25">
      <c r="A1" s="16" t="s">
        <v>20</v>
      </c>
      <c r="B1" s="17"/>
      <c r="C1" s="17"/>
      <c r="D1" s="17"/>
      <c r="E1" s="17"/>
    </row>
    <row r="2" spans="1:5" x14ac:dyDescent="0.25">
      <c r="B2" s="18">
        <f>Checklist!I7</f>
        <v>0.61111111111111105</v>
      </c>
      <c r="C2" s="17"/>
      <c r="D2" s="17"/>
    </row>
    <row r="3" spans="1:5" x14ac:dyDescent="0.25">
      <c r="B3" s="17"/>
      <c r="C3" s="19"/>
      <c r="D3" s="17"/>
    </row>
    <row r="4" spans="1:5" x14ac:dyDescent="0.25">
      <c r="B4" s="17"/>
      <c r="C4" s="19"/>
      <c r="D4" s="17"/>
    </row>
    <row r="5" spans="1:5" x14ac:dyDescent="0.25">
      <c r="B5" s="17"/>
      <c r="C5" s="19"/>
      <c r="D5" s="17"/>
    </row>
    <row r="6" spans="1:5" x14ac:dyDescent="0.25">
      <c r="B6" s="17"/>
      <c r="C6" s="17"/>
      <c r="D6" s="1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Props1.xml><?xml version="1.0" encoding="utf-8"?>
<ds:datastoreItem xmlns:ds="http://schemas.openxmlformats.org/officeDocument/2006/customXml" ds:itemID="{E14E2735-EA1A-44BF-9884-36133875E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A387EC-F6D6-4C39-850A-38D5ECF4D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D51195-12DE-4B0C-BEB4-16018FC7E2F0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BASTIAN ARIEL NAVARRETE LABRA</cp:lastModifiedBy>
  <cp:revision/>
  <dcterms:created xsi:type="dcterms:W3CDTF">2021-07-28T11:20:26Z</dcterms:created>
  <dcterms:modified xsi:type="dcterms:W3CDTF">2026-04-20T03:59:48Z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